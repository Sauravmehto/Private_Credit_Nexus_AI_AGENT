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0" autoFilterDateGrouping="1"/>
  </bookViews>
  <sheets>
    <sheet name="Portfolio Summary" sheetId="1" state="visible" r:id="rId1"/>
    <sheet name="Deal Details" sheetId="2" state="visible" r:id="rId2"/>
    <sheet name="Interest &amp; Fee Schedule" sheetId="3" state="visible" r:id="rId3"/>
    <sheet name="Covenant Tracker" sheetId="4" state="visible" r:id="rId4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dd\-mmm\-yyyy"/>
    <numFmt numFmtId="165" formatCode="\$#,##0"/>
  </numFmts>
  <fonts count="11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i val="1"/>
      <color rgb="FF64748B"/>
      <sz val="10"/>
    </font>
    <font>
      <name val="Arial"/>
      <b val="1"/>
      <color rgb="FFFFFFFF"/>
      <sz val="10"/>
    </font>
    <font>
      <name val="Arial"/>
      <color rgb="FF1E293B"/>
      <sz val="10"/>
    </font>
    <font>
      <name val="Arial"/>
      <b val="1"/>
      <color rgb="FF991B1B"/>
      <sz val="10"/>
    </font>
    <font>
      <name val="Arial"/>
      <b val="1"/>
      <color rgb="FF166534"/>
      <sz val="10"/>
    </font>
    <font>
      <name val="Arial"/>
      <b val="1"/>
      <color rgb="FF92400E"/>
      <sz val="10"/>
    </font>
    <font>
      <name val="Arial"/>
      <b val="1"/>
      <color rgb="FF0D1B2A"/>
      <sz val="10"/>
    </font>
    <font>
      <name val="Arial"/>
      <b val="1"/>
      <color rgb="FFFFFFFF"/>
      <sz val="13"/>
    </font>
    <font>
      <name val="Arial"/>
      <color rgb="FF0D1B2A"/>
      <sz val="10"/>
    </font>
  </fonts>
  <fills count="11">
    <fill>
      <patternFill/>
    </fill>
    <fill>
      <patternFill patternType="gray125"/>
    </fill>
    <fill>
      <patternFill patternType="solid">
        <fgColor rgb="FF0D1B2A"/>
      </patternFill>
    </fill>
    <fill>
      <patternFill patternType="solid">
        <fgColor rgb="FFF2F4F7"/>
      </patternFill>
    </fill>
    <fill>
      <patternFill patternType="solid">
        <fgColor rgb="FF1A56DB"/>
      </patternFill>
    </fill>
    <fill>
      <patternFill patternType="solid">
        <fgColor rgb="FFFFFFFF"/>
      </patternFill>
    </fill>
    <fill>
      <patternFill patternType="solid">
        <fgColor rgb="FFFEE2E2"/>
      </patternFill>
    </fill>
    <fill>
      <patternFill patternType="solid">
        <fgColor rgb="FFF8FAFF"/>
      </patternFill>
    </fill>
    <fill>
      <patternFill patternType="solid">
        <fgColor rgb="FFDCFCE7"/>
      </patternFill>
    </fill>
    <fill>
      <patternFill patternType="solid">
        <fgColor rgb="FFFEF3C7"/>
      </patternFill>
    </fill>
    <fill>
      <patternFill patternType="solid">
        <fgColor rgb="FFD6E4FF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164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165" fontId="4" fillId="5" borderId="1" applyAlignment="1" pivotButton="0" quotePrefix="0" xfId="0">
      <alignment horizontal="right" vertical="center"/>
    </xf>
    <xf numFmtId="1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164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165" fontId="4" fillId="7" borderId="1" applyAlignment="1" pivotButton="0" quotePrefix="0" xfId="0">
      <alignment horizontal="right" vertical="center"/>
    </xf>
    <xf numFmtId="10" fontId="4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left" vertical="center" wrapText="1"/>
    </xf>
    <xf numFmtId="0" fontId="8" fillId="10" borderId="1" pivotButton="0" quotePrefix="0" xfId="0"/>
    <xf numFmtId="165" fontId="8" fillId="10" borderId="1" applyAlignment="1" pivotButton="0" quotePrefix="0" xfId="0">
      <alignment horizontal="right" vertical="center"/>
    </xf>
    <xf numFmtId="165" fontId="10" fillId="5" borderId="1" applyAlignment="1" pivotButton="0" quotePrefix="0" xfId="0">
      <alignment horizontal="right" vertical="center"/>
    </xf>
    <xf numFmtId="165" fontId="10" fillId="7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5" borderId="1" applyAlignment="1" pivotButton="0" quotePrefix="0" xfId="0">
      <alignment horizontal="center" vertical="center" wrapText="1"/>
    </xf>
    <xf numFmtId="165" fontId="4" fillId="5" borderId="1" applyAlignment="1" pivotButton="0" quotePrefix="0" xfId="0">
      <alignment horizontal="right" vertical="center"/>
    </xf>
    <xf numFmtId="164" fontId="4" fillId="7" borderId="1" applyAlignment="1" pivotButton="0" quotePrefix="0" xfId="0">
      <alignment horizontal="center" vertical="center" wrapText="1"/>
    </xf>
    <xf numFmtId="165" fontId="4" fillId="7" borderId="1" applyAlignment="1" pivotButton="0" quotePrefix="0" xfId="0">
      <alignment horizontal="right" vertical="center"/>
    </xf>
    <xf numFmtId="165" fontId="8" fillId="10" borderId="1" applyAlignment="1" pivotButton="0" quotePrefix="0" xfId="0">
      <alignment horizontal="right" vertical="center"/>
    </xf>
    <xf numFmtId="165" fontId="10" fillId="5" borderId="1" applyAlignment="1" pivotButton="0" quotePrefix="0" xfId="0">
      <alignment horizontal="right" vertical="center"/>
    </xf>
    <xf numFmtId="165" fontId="10" fillId="7" borderId="1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tabSelected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style="27" min="1" max="1"/>
    <col width="20" customWidth="1" style="27" min="2" max="2"/>
    <col width="14" customWidth="1" style="27" min="3" max="3"/>
    <col width="12" customWidth="1" style="27" min="4" max="4"/>
    <col width="18" customWidth="1" style="27" min="5" max="5"/>
    <col width="10" customWidth="1" style="27" min="6" max="6"/>
    <col width="16" customWidth="1" style="27" min="7" max="7"/>
    <col width="14" customWidth="1" style="27" min="8" max="8"/>
    <col width="12" customWidth="1" style="27" min="9" max="9"/>
    <col width="15" customWidth="1" style="27" min="10" max="12"/>
    <col width="13" customWidth="1" style="27" min="13" max="14"/>
    <col width="11" customWidth="1" style="27" min="15" max="15"/>
    <col width="10" customWidth="1" style="27" min="16" max="17"/>
    <col width="16" customWidth="1" style="27" min="18" max="18"/>
    <col width="15" customWidth="1" style="27" min="19" max="19"/>
  </cols>
  <sheetData>
    <row r="1" ht="36" customHeight="1" s="27">
      <c r="A1" s="25" t="inlineStr">
        <is>
          <t>VENTURE DEBT PORTFOLIO — LENDER INVESTMENT REGISTER</t>
        </is>
      </c>
    </row>
    <row r="2" ht="20.1" customHeight="1" s="27">
      <c r="A2" s="24" t="inlineStr">
        <is>
          <t>As of: May 04, 2026    |    Lender: Nexus Venture Debt Fund I, LP</t>
        </is>
      </c>
    </row>
    <row r="3" ht="6" customHeight="1" s="27"/>
    <row r="4" ht="32.1" customHeight="1" s="27">
      <c r="A4" s="1" t="inlineStr">
        <is>
          <t>Deal ID</t>
        </is>
      </c>
      <c r="B4" s="1" t="inlineStr">
        <is>
          <t>Borrower</t>
        </is>
      </c>
      <c r="C4" s="1" t="inlineStr">
        <is>
          <t>Sector</t>
        </is>
      </c>
      <c r="D4" s="1" t="inlineStr">
        <is>
          <t>Stage</t>
        </is>
      </c>
      <c r="E4" s="1" t="inlineStr">
        <is>
          <t>Instrument Type</t>
        </is>
      </c>
      <c r="F4" s="1" t="inlineStr">
        <is>
          <t>Tranche</t>
        </is>
      </c>
      <c r="G4" s="1" t="inlineStr">
        <is>
          <t>Origination Date</t>
        </is>
      </c>
      <c r="H4" s="1" t="inlineStr">
        <is>
          <t>Maturity Date</t>
        </is>
      </c>
      <c r="I4" s="1" t="inlineStr">
        <is>
          <t>Tenure (Mo.)</t>
        </is>
      </c>
      <c r="J4" s="1" t="inlineStr">
        <is>
          <t>Principal ($)</t>
        </is>
      </c>
      <c r="K4" s="1" t="inlineStr">
        <is>
          <t>Outstanding ($)</t>
        </is>
      </c>
      <c r="L4" s="1" t="inlineStr">
        <is>
          <t>Market Value ($)</t>
        </is>
      </c>
      <c r="M4" s="1" t="inlineStr">
        <is>
          <t>Interest Rate</t>
        </is>
      </c>
      <c r="N4" s="1" t="inlineStr">
        <is>
          <t>Interest Type</t>
        </is>
      </c>
      <c r="O4" s="1" t="inlineStr">
        <is>
          <t>PIK Rate</t>
        </is>
      </c>
      <c r="P4" s="1" t="inlineStr">
        <is>
          <t>Orig. Fee</t>
        </is>
      </c>
      <c r="Q4" s="1" t="inlineStr">
        <is>
          <t>EOT Fee</t>
        </is>
      </c>
      <c r="R4" s="1" t="inlineStr">
        <is>
          <t>Warrant Coverage</t>
        </is>
      </c>
      <c r="S4" s="1" t="inlineStr">
        <is>
          <t>Covenant Status</t>
        </is>
      </c>
    </row>
    <row r="5" ht="21.95" customHeight="1" s="27">
      <c r="A5" s="2" t="inlineStr">
        <is>
          <t>VD-2023-0101</t>
        </is>
      </c>
      <c r="B5" s="2" t="inlineStr">
        <is>
          <t>Axon Therapeutics</t>
        </is>
      </c>
      <c r="C5" s="2" t="inlineStr">
        <is>
          <t>Biotech</t>
        </is>
      </c>
      <c r="D5" s="2" t="inlineStr">
        <is>
          <t>Series C</t>
        </is>
      </c>
      <c r="E5" s="2" t="inlineStr">
        <is>
          <t>Term Loan</t>
        </is>
      </c>
      <c r="F5" s="2" t="inlineStr">
        <is>
          <t>Tranche A</t>
        </is>
      </c>
      <c r="G5" s="28" t="n">
        <v>45000</v>
      </c>
      <c r="H5" s="28" t="n">
        <v>46096</v>
      </c>
      <c r="I5" s="4" t="n">
        <v>36</v>
      </c>
      <c r="J5" s="29" t="n">
        <v>3000000</v>
      </c>
      <c r="K5" s="29" t="n">
        <v>1356000</v>
      </c>
      <c r="L5" s="29" t="n">
        <v>1298000</v>
      </c>
      <c r="M5" s="6" t="n">
        <v>0.1215</v>
      </c>
      <c r="N5" s="2" t="inlineStr">
        <is>
          <t>Floating (SOFR+750)</t>
        </is>
      </c>
      <c r="O5" s="6" t="n">
        <v>0.02</v>
      </c>
      <c r="P5" s="6" t="n">
        <v>0.02</v>
      </c>
      <c r="Q5" s="6" t="n">
        <v>0.01</v>
      </c>
      <c r="R5" s="2" t="inlineStr">
        <is>
          <t>2.0%</t>
        </is>
      </c>
      <c r="S5" s="7" t="inlineStr">
        <is>
          <t>Breach Risk</t>
        </is>
      </c>
    </row>
    <row r="6" ht="21.95" customHeight="1" s="27">
      <c r="A6" s="8" t="inlineStr">
        <is>
          <t>VD-2023-0103</t>
        </is>
      </c>
      <c r="B6" s="8" t="inlineStr">
        <is>
          <t>Meridian SaaS</t>
        </is>
      </c>
      <c r="C6" s="8" t="inlineStr">
        <is>
          <t>SaaS / AI</t>
        </is>
      </c>
      <c r="D6" s="8" t="inlineStr">
        <is>
          <t>Series B</t>
        </is>
      </c>
      <c r="E6" s="8" t="inlineStr">
        <is>
          <t>Revenue-Based Note</t>
        </is>
      </c>
      <c r="F6" s="8" t="inlineStr">
        <is>
          <t>Tranche A</t>
        </is>
      </c>
      <c r="G6" s="30" t="n">
        <v>45078</v>
      </c>
      <c r="H6" s="30" t="n">
        <v>45809</v>
      </c>
      <c r="I6" s="10" t="n">
        <v>24</v>
      </c>
      <c r="J6" s="31" t="n">
        <v>5000000</v>
      </c>
      <c r="K6" s="31" t="n">
        <v>2592000</v>
      </c>
      <c r="L6" s="31" t="n">
        <v>2890000</v>
      </c>
      <c r="M6" s="12" t="n">
        <v>0.14</v>
      </c>
      <c r="N6" s="8" t="inlineStr">
        <is>
          <t>Fixed</t>
        </is>
      </c>
      <c r="O6" s="12" t="n">
        <v>0</v>
      </c>
      <c r="P6" s="12" t="n">
        <v>0.025</v>
      </c>
      <c r="Q6" s="12" t="n">
        <v>0.015</v>
      </c>
      <c r="R6" s="8" t="inlineStr">
        <is>
          <t>1.5%</t>
        </is>
      </c>
      <c r="S6" s="13" t="inlineStr">
        <is>
          <t>Compliant</t>
        </is>
      </c>
    </row>
    <row r="7" ht="21.95" customHeight="1" s="27">
      <c r="A7" s="2" t="inlineStr">
        <is>
          <t>VD-2023-0104</t>
        </is>
      </c>
      <c r="B7" s="2" t="inlineStr">
        <is>
          <t>Crestline Robotics</t>
        </is>
      </c>
      <c r="C7" s="2" t="inlineStr">
        <is>
          <t>CleanTech</t>
        </is>
      </c>
      <c r="D7" s="2" t="inlineStr">
        <is>
          <t>Series B</t>
        </is>
      </c>
      <c r="E7" s="2" t="inlineStr">
        <is>
          <t>Convertible Note</t>
        </is>
      </c>
      <c r="F7" s="2" t="inlineStr">
        <is>
          <t>Tranche A</t>
        </is>
      </c>
      <c r="G7" s="28" t="n">
        <v>45179</v>
      </c>
      <c r="H7" s="28" t="n">
        <v>46275</v>
      </c>
      <c r="I7" s="4" t="n">
        <v>36</v>
      </c>
      <c r="J7" s="29" t="n">
        <v>8000000</v>
      </c>
      <c r="K7" s="29" t="n">
        <v>9800000</v>
      </c>
      <c r="L7" s="29" t="n">
        <v>7640000</v>
      </c>
      <c r="M7" s="6" t="n">
        <v>0.11</v>
      </c>
      <c r="N7" s="2" t="inlineStr">
        <is>
          <t>Fixed</t>
        </is>
      </c>
      <c r="O7" s="6" t="n">
        <v>0.03</v>
      </c>
      <c r="P7" s="6" t="n">
        <v>0.03</v>
      </c>
      <c r="Q7" s="6" t="n">
        <v>0.02</v>
      </c>
      <c r="R7" s="2" t="inlineStr">
        <is>
          <t>3.0%</t>
        </is>
      </c>
      <c r="S7" s="13" t="inlineStr">
        <is>
          <t>Compliant</t>
        </is>
      </c>
    </row>
    <row r="8" ht="21.95" customHeight="1" s="27">
      <c r="A8" s="8" t="inlineStr">
        <is>
          <t>VD-2024-0111</t>
        </is>
      </c>
      <c r="B8" s="8" t="inlineStr">
        <is>
          <t>Titan Semiconductors</t>
        </is>
      </c>
      <c r="C8" s="8" t="inlineStr">
        <is>
          <t>HealthTech</t>
        </is>
      </c>
      <c r="D8" s="8" t="inlineStr">
        <is>
          <t>Series C</t>
        </is>
      </c>
      <c r="E8" s="8" t="inlineStr">
        <is>
          <t>Term Loan</t>
        </is>
      </c>
      <c r="F8" s="8" t="inlineStr">
        <is>
          <t>Tranche A/B</t>
        </is>
      </c>
      <c r="G8" s="30" t="n">
        <v>45311</v>
      </c>
      <c r="H8" s="30" t="n">
        <v>46407</v>
      </c>
      <c r="I8" s="10" t="n">
        <v>36</v>
      </c>
      <c r="J8" s="31" t="n">
        <v>12000000</v>
      </c>
      <c r="K8" s="31" t="n">
        <v>12000000</v>
      </c>
      <c r="L8" s="31" t="n">
        <v>11400000</v>
      </c>
      <c r="M8" s="12" t="n">
        <v>0.135</v>
      </c>
      <c r="N8" s="8" t="inlineStr">
        <is>
          <t>Floating (SOFR+825)</t>
        </is>
      </c>
      <c r="O8" s="12" t="n">
        <v>0</v>
      </c>
      <c r="P8" s="12" t="n">
        <v>0.02</v>
      </c>
      <c r="Q8" s="12" t="n">
        <v>0.0125</v>
      </c>
      <c r="R8" s="8" t="inlineStr">
        <is>
          <t>2.5%</t>
        </is>
      </c>
      <c r="S8" s="14" t="inlineStr">
        <is>
          <t>Compliant</t>
        </is>
      </c>
    </row>
    <row r="9" ht="21.95" customHeight="1" s="27">
      <c r="A9" s="2" t="inlineStr">
        <is>
          <t>VD-2024-0112</t>
        </is>
      </c>
      <c r="B9" s="2" t="inlineStr">
        <is>
          <t>ClearPath Analytics</t>
        </is>
      </c>
      <c r="C9" s="2" t="inlineStr">
        <is>
          <t>Mobility/SaaS</t>
        </is>
      </c>
      <c r="D9" s="2" t="inlineStr">
        <is>
          <t>Series A</t>
        </is>
      </c>
      <c r="E9" s="2" t="inlineStr">
        <is>
          <t>Bridge Loan</t>
        </is>
      </c>
      <c r="F9" s="2" t="inlineStr">
        <is>
          <t>Tranche A</t>
        </is>
      </c>
      <c r="G9" s="28" t="n">
        <v>45417</v>
      </c>
      <c r="H9" s="28" t="n">
        <v>45966</v>
      </c>
      <c r="I9" s="4" t="n">
        <v>18</v>
      </c>
      <c r="J9" s="29" t="n">
        <v>2500000</v>
      </c>
      <c r="K9" s="29" t="n">
        <v>5000000</v>
      </c>
      <c r="L9" s="29" t="n">
        <v>2325000</v>
      </c>
      <c r="M9" s="6" t="n">
        <v>0.16</v>
      </c>
      <c r="N9" s="2" t="inlineStr">
        <is>
          <t>Fixed</t>
        </is>
      </c>
      <c r="O9" s="6" t="n">
        <v>0.04</v>
      </c>
      <c r="P9" s="6" t="n">
        <v>0.035</v>
      </c>
      <c r="Q9" s="6" t="n">
        <v>0.02</v>
      </c>
      <c r="R9" s="2" t="inlineStr">
        <is>
          <t>4.0%</t>
        </is>
      </c>
      <c r="S9" s="7" t="inlineStr">
        <is>
          <t>Breach Risk</t>
        </is>
      </c>
    </row>
    <row r="10" ht="21.95" customHeight="1" s="27">
      <c r="A10" s="8" t="inlineStr">
        <is>
          <t>VD-2024-0110</t>
        </is>
      </c>
      <c r="B10" s="8" t="inlineStr">
        <is>
          <t>Nimbus Cloud</t>
        </is>
      </c>
      <c r="C10" s="8" t="inlineStr">
        <is>
          <t>PropTech</t>
        </is>
      </c>
      <c r="D10" s="8" t="inlineStr">
        <is>
          <t>Series C</t>
        </is>
      </c>
      <c r="E10" s="8" t="inlineStr">
        <is>
          <t>Senior Secured TL</t>
        </is>
      </c>
      <c r="F10" s="8" t="inlineStr">
        <is>
          <t>Tranche A/B/C</t>
        </is>
      </c>
      <c r="G10" s="30" t="n">
        <v>45536</v>
      </c>
      <c r="H10" s="30" t="n">
        <v>46631</v>
      </c>
      <c r="I10" s="10" t="n">
        <v>36</v>
      </c>
      <c r="J10" s="31" t="n">
        <v>20000000</v>
      </c>
      <c r="K10" s="31" t="n">
        <v>16000000</v>
      </c>
      <c r="L10" s="31" t="n">
        <v>19200000</v>
      </c>
      <c r="M10" s="12" t="n">
        <v>0.125</v>
      </c>
      <c r="N10" s="8" t="inlineStr">
        <is>
          <t>Floating (SOFR+775)</t>
        </is>
      </c>
      <c r="O10" s="12" t="n">
        <v>0</v>
      </c>
      <c r="P10" s="12" t="n">
        <v>0.0175</v>
      </c>
      <c r="Q10" s="12" t="n">
        <v>0.01</v>
      </c>
      <c r="R10" s="8" t="inlineStr">
        <is>
          <t>1.75%</t>
        </is>
      </c>
      <c r="S10" s="13" t="inlineStr">
        <is>
          <t>Compliant</t>
        </is>
      </c>
    </row>
    <row r="11" ht="24" customHeight="1" s="27">
      <c r="A11" s="15" t="inlineStr">
        <is>
          <t>PORTFOLIO TOTALS</t>
        </is>
      </c>
      <c r="B11" s="16" t="n"/>
      <c r="C11" s="16" t="n"/>
      <c r="D11" s="16" t="n"/>
      <c r="E11" s="16" t="n"/>
      <c r="F11" s="16" t="n"/>
      <c r="G11" s="16" t="n"/>
      <c r="H11" s="16" t="n"/>
      <c r="I11" s="16" t="n"/>
      <c r="J11" s="32">
        <f>SUM(J5:J10)</f>
        <v/>
      </c>
      <c r="K11" s="32" t="n">
        <v>46748000</v>
      </c>
      <c r="L11" s="32">
        <f>SUM(L5:L10)</f>
        <v/>
      </c>
      <c r="M11" s="16" t="n"/>
      <c r="N11" s="16" t="n"/>
      <c r="O11" s="16" t="n"/>
      <c r="P11" s="16" t="n"/>
      <c r="Q11" s="16" t="n"/>
      <c r="R11" s="16" t="n"/>
      <c r="S11" s="16" t="n"/>
    </row>
  </sheetData>
  <mergeCells count="2">
    <mergeCell ref="A2:S2"/>
    <mergeCell ref="A1:S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style="27" min="1" max="1"/>
    <col width="22" customWidth="1" style="27" min="2" max="2"/>
    <col width="28" customWidth="1" style="27" min="3" max="3"/>
    <col width="20" customWidth="1" style="27" min="4" max="5"/>
    <col width="30" customWidth="1" style="27" min="6" max="7"/>
    <col width="22" customWidth="1" style="27" min="8" max="8"/>
    <col width="18" customWidth="1" style="27" min="9" max="9"/>
    <col width="35" customWidth="1" style="27" min="10" max="11"/>
    <col width="20" customWidth="1" style="27" min="12" max="12"/>
    <col width="24" customWidth="1" style="27" min="13" max="13"/>
    <col width="30" customWidth="1" style="27" min="14" max="14"/>
    <col width="14" customWidth="1" style="27" min="15" max="15"/>
  </cols>
  <sheetData>
    <row r="1" ht="32.1" customHeight="1" s="27">
      <c r="A1" s="26" t="inlineStr">
        <is>
          <t>VENTURE DEBT DEAL DETAILS</t>
        </is>
      </c>
    </row>
    <row r="2" ht="30" customHeight="1" s="27">
      <c r="A2" s="1" t="inlineStr">
        <is>
          <t>Deal ID</t>
        </is>
      </c>
      <c r="B2" s="1" t="inlineStr">
        <is>
          <t>Borrower</t>
        </is>
      </c>
      <c r="C2" s="1" t="inlineStr">
        <is>
          <t>Lender</t>
        </is>
      </c>
      <c r="D2" s="1" t="inlineStr">
        <is>
          <t>Lead Arranger</t>
        </is>
      </c>
      <c r="E2" s="1" t="inlineStr">
        <is>
          <t>Agent Bank</t>
        </is>
      </c>
      <c r="F2" s="1" t="inlineStr">
        <is>
          <t>Use of Proceeds</t>
        </is>
      </c>
      <c r="G2" s="1" t="inlineStr">
        <is>
          <t>Security / Collateral</t>
        </is>
      </c>
      <c r="H2" s="1" t="inlineStr">
        <is>
          <t>Repayment Structure</t>
        </is>
      </c>
      <c r="I2" s="1" t="inlineStr">
        <is>
          <t>Prepayment Penalty</t>
        </is>
      </c>
      <c r="J2" s="1" t="inlineStr">
        <is>
          <t>Financial Covenants</t>
        </is>
      </c>
      <c r="K2" s="1" t="inlineStr">
        <is>
          <t>Reporting Covenants</t>
        </is>
      </c>
      <c r="L2" s="1" t="inlineStr">
        <is>
          <t>Last Equity Round ($)</t>
        </is>
      </c>
      <c r="M2" s="1" t="inlineStr">
        <is>
          <t>Last Equity Valuation ($)</t>
        </is>
      </c>
      <c r="N2" s="1" t="inlineStr">
        <is>
          <t>Investor Syndicate</t>
        </is>
      </c>
      <c r="O2" s="1" t="inlineStr">
        <is>
          <t>Deal Status</t>
        </is>
      </c>
    </row>
    <row r="3" ht="50.1" customHeight="1" s="27">
      <c r="A3" s="2" t="inlineStr">
        <is>
          <t>VD-2023-0101</t>
        </is>
      </c>
      <c r="B3" s="2" t="inlineStr">
        <is>
          <t>Axon Therapeutics</t>
        </is>
      </c>
      <c r="C3" s="2" t="inlineStr">
        <is>
          <t>Nexus Venture Debt Fund I, LP</t>
        </is>
      </c>
      <c r="D3" s="2" t="inlineStr">
        <is>
          <t>Nexus Capital Advisors</t>
        </is>
      </c>
      <c r="E3" s="2" t="inlineStr">
        <is>
          <t>Silicon Valley Bank</t>
        </is>
      </c>
      <c r="F3" s="2" t="inlineStr">
        <is>
          <t>Clinical Trial Expansion &amp; Working Capital</t>
        </is>
      </c>
      <c r="G3" s="2" t="inlineStr">
        <is>
          <t>First-lien IP pledge; negative pledge on assets</t>
        </is>
      </c>
      <c r="H3" s="2" t="inlineStr">
        <is>
          <t>IO 12 mo → 18 mo amortizing</t>
        </is>
      </c>
      <c r="I3" s="2" t="inlineStr">
        <is>
          <t>3% if repaid in Yr 1; 2% Yr 2; 1% Yr 3</t>
        </is>
      </c>
      <c r="J3" s="2" t="inlineStr">
        <is>
          <t>Min. Cash Runway ≥ 6 mo; Revenue Coverage ≥ 1.1x</t>
        </is>
      </c>
      <c r="K3" s="2" t="inlineStr">
        <is>
          <t>Monthly financials; quarterly board observer rights</t>
        </is>
      </c>
      <c r="L3" s="29" t="n">
        <v>12000000</v>
      </c>
      <c r="M3" s="29" t="n">
        <v>95000000</v>
      </c>
      <c r="N3" s="2" t="inlineStr">
        <is>
          <t>Orbis Ventures, HealthBridge Capital</t>
        </is>
      </c>
      <c r="O3" s="7" t="inlineStr">
        <is>
          <t>Active — Breach Risk</t>
        </is>
      </c>
    </row>
    <row r="4" ht="50.1" customHeight="1" s="27">
      <c r="A4" s="8" t="inlineStr">
        <is>
          <t>VD-2023-0103</t>
        </is>
      </c>
      <c r="B4" s="8" t="inlineStr">
        <is>
          <t>Meridian SaaS</t>
        </is>
      </c>
      <c r="C4" s="8" t="inlineStr">
        <is>
          <t>Nexus Venture Debt Fund I, LP</t>
        </is>
      </c>
      <c r="D4" s="8" t="inlineStr">
        <is>
          <t>Nexus Capital Advisors</t>
        </is>
      </c>
      <c r="E4" s="8" t="inlineStr">
        <is>
          <t>First Republic Bank</t>
        </is>
      </c>
      <c r="F4" s="8" t="inlineStr">
        <is>
          <t>Product Roadmap Acceleration &amp; Sales Hiring</t>
        </is>
      </c>
      <c r="G4" s="8" t="inlineStr">
        <is>
          <t>First-lien on all assets; IP assignment pledge</t>
        </is>
      </c>
      <c r="H4" s="8" t="inlineStr">
        <is>
          <t>Revenue-linked repayment — 8% of monthly revenue</t>
        </is>
      </c>
      <c r="I4" s="8" t="inlineStr">
        <is>
          <t>2% flat fee if fully prepaid within 12 months</t>
        </is>
      </c>
      <c r="J4" s="8" t="inlineStr">
        <is>
          <t>ARR Growth ≥ 15% YoY; Churn ≤ 5% net</t>
        </is>
      </c>
      <c r="K4" s="8" t="inlineStr">
        <is>
          <t>Monthly MRR report; annual audited financials</t>
        </is>
      </c>
      <c r="L4" s="31" t="n">
        <v>25000000</v>
      </c>
      <c r="M4" s="31" t="n">
        <v>180000000</v>
      </c>
      <c r="N4" s="8" t="inlineStr">
        <is>
          <t>Sequoia Capital, Lightspeed Ventures</t>
        </is>
      </c>
      <c r="O4" s="13" t="inlineStr">
        <is>
          <t>Active — Compliant</t>
        </is>
      </c>
    </row>
    <row r="5" ht="50.1" customHeight="1" s="27">
      <c r="A5" s="2" t="inlineStr">
        <is>
          <t>VD-2023-0104</t>
        </is>
      </c>
      <c r="B5" s="2" t="inlineStr">
        <is>
          <t>Crestline Robotics</t>
        </is>
      </c>
      <c r="C5" s="2" t="inlineStr">
        <is>
          <t>Nexus Venture Debt Fund I, LP</t>
        </is>
      </c>
      <c r="D5" s="2" t="inlineStr">
        <is>
          <t>Nexus Capital Advisors</t>
        </is>
      </c>
      <c r="E5" s="2" t="inlineStr">
        <is>
          <t>East West Bank</t>
        </is>
      </c>
      <c r="F5" s="2" t="inlineStr">
        <is>
          <t>Grid Infrastructure Build-Out &amp; Equipment</t>
        </is>
      </c>
      <c r="G5" s="2" t="inlineStr">
        <is>
          <t>First-lien on PP&amp;E; lien on project contracts</t>
        </is>
      </c>
      <c r="H5" s="2" t="inlineStr">
        <is>
          <t>IO 6 mo → 30 mo amortizing; PIK option Yr 1</t>
        </is>
      </c>
      <c r="I5" s="2" t="inlineStr">
        <is>
          <t>None after Month 18</t>
        </is>
      </c>
      <c r="J5" s="2" t="inlineStr">
        <is>
          <t>Debt/EBITDA ≤ 5.0x; DSCR ≥ 1.20x</t>
        </is>
      </c>
      <c r="K5" s="2" t="inlineStr">
        <is>
          <t>Quarterly financials; project milestone reports</t>
        </is>
      </c>
      <c r="L5" s="29" t="n">
        <v>40000000</v>
      </c>
      <c r="M5" s="29" t="n">
        <v>310000000</v>
      </c>
      <c r="N5" s="2" t="inlineStr">
        <is>
          <t>Breakthrough Energy Ventures, DCVC</t>
        </is>
      </c>
      <c r="O5" s="13" t="inlineStr">
        <is>
          <t>Active — Compliant</t>
        </is>
      </c>
    </row>
    <row r="6" ht="50.1" customHeight="1" s="27">
      <c r="A6" s="8" t="inlineStr">
        <is>
          <t>VD-2024-0111</t>
        </is>
      </c>
      <c r="B6" s="8" t="inlineStr">
        <is>
          <t>Titan Semiconductors</t>
        </is>
      </c>
      <c r="C6" s="8" t="inlineStr">
        <is>
          <t>Nexus Venture Debt Fund I, LP</t>
        </is>
      </c>
      <c r="D6" s="8" t="inlineStr">
        <is>
          <t>Nexus Capital Advisors</t>
        </is>
      </c>
      <c r="E6" s="8" t="inlineStr">
        <is>
          <t>Western Alliance Bank</t>
        </is>
      </c>
      <c r="F6" s="8" t="inlineStr">
        <is>
          <t>Hospital Network Expansion &amp; Regulatory Filings</t>
        </is>
      </c>
      <c r="G6" s="8" t="inlineStr">
        <is>
          <t>First-lien all assets; second-lien on IP</t>
        </is>
      </c>
      <c r="H6" s="8" t="inlineStr">
        <is>
          <t>IO 6 mo → 30 mo amortizing (Tranche A); Bullet 24 mo (Tranche B)</t>
        </is>
      </c>
      <c r="I6" s="8" t="inlineStr">
        <is>
          <t>2% Year 1; 1% Year 2; None after</t>
        </is>
      </c>
      <c r="J6" s="8" t="inlineStr">
        <is>
          <t>Min. Liquidity $5M; Gross Margin ≥ 55%</t>
        </is>
      </c>
      <c r="K6" s="8" t="inlineStr">
        <is>
          <t>Monthly KPIs; quarterly board presentations</t>
        </is>
      </c>
      <c r="L6" s="31" t="n">
        <v>60000000</v>
      </c>
      <c r="M6" s="31" t="n">
        <v>420000000</v>
      </c>
      <c r="N6" s="8" t="inlineStr">
        <is>
          <t>General Catalyst, a16z Bio</t>
        </is>
      </c>
      <c r="O6" s="14" t="inlineStr">
        <is>
          <t>Active — Monitoring</t>
        </is>
      </c>
    </row>
    <row r="7" ht="50.1" customHeight="1" s="27">
      <c r="A7" s="2" t="inlineStr">
        <is>
          <t>VD-2024-0112</t>
        </is>
      </c>
      <c r="B7" s="2" t="inlineStr">
        <is>
          <t>ClearPath Analytics</t>
        </is>
      </c>
      <c r="C7" s="2" t="inlineStr">
        <is>
          <t>Nexus Venture Debt Fund I, LP</t>
        </is>
      </c>
      <c r="D7" s="2" t="inlineStr">
        <is>
          <t>Nexus Capital Advisors</t>
        </is>
      </c>
      <c r="E7" s="2" t="inlineStr">
        <is>
          <t>Signature Bank</t>
        </is>
      </c>
      <c r="F7" s="2" t="inlineStr">
        <is>
          <t>Fleet Expansion &amp; City License Fees</t>
        </is>
      </c>
      <c r="G7" s="2" t="inlineStr">
        <is>
          <t>First-lien on fleet assets; IP pledge</t>
        </is>
      </c>
      <c r="H7" s="2" t="inlineStr">
        <is>
          <t>IO 6 mo → bullet repayment at maturity</t>
        </is>
      </c>
      <c r="I7" s="2" t="inlineStr">
        <is>
          <t>None</t>
        </is>
      </c>
      <c r="J7" s="2" t="inlineStr">
        <is>
          <t>Min. Cash $1M; GMV Growth ≥ 20% QoQ</t>
        </is>
      </c>
      <c r="K7" s="2" t="inlineStr">
        <is>
          <t>Monthly financials; real-time GMV dashboard</t>
        </is>
      </c>
      <c r="L7" s="29" t="n">
        <v>10000000</v>
      </c>
      <c r="M7" s="29" t="n">
        <v>65000000</v>
      </c>
      <c r="N7" s="2" t="inlineStr">
        <is>
          <t>Tiger Global, Founders Fund</t>
        </is>
      </c>
      <c r="O7" s="7" t="inlineStr">
        <is>
          <t>Active — Breach Risk</t>
        </is>
      </c>
    </row>
    <row r="8" ht="50.1" customHeight="1" s="27">
      <c r="A8" s="8" t="inlineStr">
        <is>
          <t>VD-2024-0110</t>
        </is>
      </c>
      <c r="B8" s="8" t="inlineStr">
        <is>
          <t>Nimbus Cloud</t>
        </is>
      </c>
      <c r="C8" s="8" t="inlineStr">
        <is>
          <t>Nexus Venture Debt Fund I, LP</t>
        </is>
      </c>
      <c r="D8" s="8" t="inlineStr">
        <is>
          <t>Nexus Capital Advisors</t>
        </is>
      </c>
      <c r="E8" s="8" t="inlineStr">
        <is>
          <t>JP Morgan</t>
        </is>
      </c>
      <c r="F8" s="8" t="inlineStr">
        <is>
          <t>Platform Scaling, M&amp;A, International Expansion</t>
        </is>
      </c>
      <c r="G8" s="8" t="inlineStr">
        <is>
          <t>First-lien all assets; pledge of subsidiary shares</t>
        </is>
      </c>
      <c r="H8" s="8" t="inlineStr">
        <is>
          <t>IO 6 mo → 30 mo amortizing (3 tranches drawn quarterly)</t>
        </is>
      </c>
      <c r="I8" s="8" t="inlineStr">
        <is>
          <t>3% Yr 1; 2% Yr 2; 1% Yr 3</t>
        </is>
      </c>
      <c r="J8" s="8" t="inlineStr">
        <is>
          <t>Net Revenue Retention ≥ 110%; Leverage ≤ 4.0x</t>
        </is>
      </c>
      <c r="K8" s="8" t="inlineStr">
        <is>
          <t>Monthly financials; quarterly investor letters</t>
        </is>
      </c>
      <c r="L8" s="31" t="n">
        <v>100000000</v>
      </c>
      <c r="M8" s="31" t="n">
        <v>750000000</v>
      </c>
      <c r="N8" s="8" t="inlineStr">
        <is>
          <t>Softbank Vision Fund, Tiger Global, Coatue</t>
        </is>
      </c>
      <c r="O8" s="13" t="inlineStr">
        <is>
          <t>Active — Compliant</t>
        </is>
      </c>
    </row>
  </sheetData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style="27" min="1" max="1"/>
    <col width="20" customWidth="1" style="27" min="2" max="2"/>
    <col width="15" customWidth="1" style="27" min="3" max="3"/>
    <col width="12" customWidth="1" style="27" min="4" max="4"/>
    <col width="13" customWidth="1" style="27" min="5" max="5"/>
    <col width="12" customWidth="1" style="27" min="6" max="6"/>
    <col width="11" customWidth="1" style="27" min="7" max="7"/>
    <col width="20" customWidth="1" style="27" min="8" max="9"/>
    <col width="14" customWidth="1" style="27" min="10" max="10"/>
    <col width="13" customWidth="1" style="27" min="11" max="11"/>
    <col width="18" customWidth="1" style="27" min="12" max="12"/>
  </cols>
  <sheetData>
    <row r="1" ht="32.1" customHeight="1" s="27">
      <c r="A1" s="26" t="inlineStr">
        <is>
          <t>INTEREST &amp; FEE SCHEDULE</t>
        </is>
      </c>
    </row>
    <row r="2" ht="30" customHeight="1" s="27">
      <c r="A2" s="1" t="inlineStr">
        <is>
          <t>Deal ID</t>
        </is>
      </c>
      <c r="B2" s="1" t="inlineStr">
        <is>
          <t>Borrower</t>
        </is>
      </c>
      <c r="C2" s="1" t="inlineStr">
        <is>
          <t>Principal ($)</t>
        </is>
      </c>
      <c r="D2" s="1" t="inlineStr">
        <is>
          <t>Base Rate</t>
        </is>
      </c>
      <c r="E2" s="1" t="inlineStr">
        <is>
          <t>Spread (bps)</t>
        </is>
      </c>
      <c r="F2" s="1" t="inlineStr">
        <is>
          <t>All-in Rate</t>
        </is>
      </c>
      <c r="G2" s="1" t="inlineStr">
        <is>
          <t>PIK Rate</t>
        </is>
      </c>
      <c r="H2" s="1" t="inlineStr">
        <is>
          <t>Cash Interest p.a. ($)</t>
        </is>
      </c>
      <c r="I2" s="1" t="inlineStr">
        <is>
          <t>PIK Interest p.a. ($)</t>
        </is>
      </c>
      <c r="J2" s="1" t="inlineStr">
        <is>
          <t>Orig. Fee ($)</t>
        </is>
      </c>
      <c r="K2" s="1" t="inlineStr">
        <is>
          <t>EOT Fee ($)</t>
        </is>
      </c>
      <c r="L2" s="1" t="inlineStr">
        <is>
          <t>Total Fee Income ($)</t>
        </is>
      </c>
    </row>
    <row r="3" ht="21.95" customHeight="1" s="27">
      <c r="A3" s="2" t="inlineStr">
        <is>
          <t>VD-2023-0101</t>
        </is>
      </c>
      <c r="B3" s="2" t="inlineStr">
        <is>
          <t>Axon Therapeutics</t>
        </is>
      </c>
      <c r="C3" s="29" t="n">
        <v>3000000</v>
      </c>
      <c r="D3" s="6" t="n">
        <v>0.0465</v>
      </c>
      <c r="E3" s="4" t="n">
        <v>750</v>
      </c>
      <c r="F3" s="6" t="n">
        <v>0.1215</v>
      </c>
      <c r="G3" s="6" t="n">
        <v>0.02</v>
      </c>
      <c r="H3" s="33" t="n">
        <v>304500</v>
      </c>
      <c r="I3" s="33" t="n">
        <v>60000</v>
      </c>
      <c r="J3" s="33" t="n">
        <v>60000</v>
      </c>
      <c r="K3" s="33" t="n">
        <v>30000</v>
      </c>
      <c r="L3" s="33" t="n">
        <v>90000</v>
      </c>
    </row>
    <row r="4" ht="21.95" customHeight="1" s="27">
      <c r="A4" s="8" t="inlineStr">
        <is>
          <t>VD-2023-0103</t>
        </is>
      </c>
      <c r="B4" s="8" t="inlineStr">
        <is>
          <t>Meridian SaaS</t>
        </is>
      </c>
      <c r="C4" s="31" t="n">
        <v>5000000</v>
      </c>
      <c r="D4" s="12" t="inlineStr">
        <is>
          <t>—</t>
        </is>
      </c>
      <c r="E4" s="10" t="inlineStr">
        <is>
          <t>—</t>
        </is>
      </c>
      <c r="F4" s="12" t="n">
        <v>0.14</v>
      </c>
      <c r="G4" s="12" t="n">
        <v>0</v>
      </c>
      <c r="H4" s="34" t="n">
        <v>700000.0000000001</v>
      </c>
      <c r="I4" s="34" t="n">
        <v>0</v>
      </c>
      <c r="J4" s="34" t="n">
        <v>125000</v>
      </c>
      <c r="K4" s="34" t="n">
        <v>75000</v>
      </c>
      <c r="L4" s="34" t="n">
        <v>200000</v>
      </c>
    </row>
    <row r="5" ht="21.95" customHeight="1" s="27">
      <c r="A5" s="2" t="inlineStr">
        <is>
          <t>VD-2023-0104</t>
        </is>
      </c>
      <c r="B5" s="2" t="inlineStr">
        <is>
          <t>Crestline Robotics</t>
        </is>
      </c>
      <c r="C5" s="29" t="n">
        <v>8000000</v>
      </c>
      <c r="D5" s="6" t="inlineStr">
        <is>
          <t>—</t>
        </is>
      </c>
      <c r="E5" s="4" t="inlineStr">
        <is>
          <t>—</t>
        </is>
      </c>
      <c r="F5" s="6" t="n">
        <v>0.11</v>
      </c>
      <c r="G5" s="6" t="n">
        <v>0.03</v>
      </c>
      <c r="H5" s="33" t="n">
        <v>640000</v>
      </c>
      <c r="I5" s="33" t="n">
        <v>240000</v>
      </c>
      <c r="J5" s="33" t="n">
        <v>240000</v>
      </c>
      <c r="K5" s="33" t="n">
        <v>160000</v>
      </c>
      <c r="L5" s="33" t="n">
        <v>400000</v>
      </c>
    </row>
    <row r="6" ht="21.95" customHeight="1" s="27">
      <c r="A6" s="8" t="inlineStr">
        <is>
          <t>VD-2024-0111</t>
        </is>
      </c>
      <c r="B6" s="8" t="inlineStr">
        <is>
          <t>Titan Semiconductors</t>
        </is>
      </c>
      <c r="C6" s="31" t="n">
        <v>12000000</v>
      </c>
      <c r="D6" s="12" t="n">
        <v>0.053</v>
      </c>
      <c r="E6" s="10" t="n">
        <v>825</v>
      </c>
      <c r="F6" s="12" t="n">
        <v>0.135</v>
      </c>
      <c r="G6" s="12" t="n">
        <v>0</v>
      </c>
      <c r="H6" s="34" t="n">
        <v>1620000</v>
      </c>
      <c r="I6" s="34" t="n">
        <v>0</v>
      </c>
      <c r="J6" s="34" t="n">
        <v>240000</v>
      </c>
      <c r="K6" s="34" t="n">
        <v>150000</v>
      </c>
      <c r="L6" s="34" t="n">
        <v>390000</v>
      </c>
    </row>
    <row r="7" ht="21.95" customHeight="1" s="27">
      <c r="A7" s="2" t="inlineStr">
        <is>
          <t>VD-2024-0112</t>
        </is>
      </c>
      <c r="B7" s="2" t="inlineStr">
        <is>
          <t>ClearPath Analytics</t>
        </is>
      </c>
      <c r="C7" s="29" t="n">
        <v>2500000</v>
      </c>
      <c r="D7" s="6" t="inlineStr">
        <is>
          <t>—</t>
        </is>
      </c>
      <c r="E7" s="4" t="inlineStr">
        <is>
          <t>—</t>
        </is>
      </c>
      <c r="F7" s="6" t="n">
        <v>0.16</v>
      </c>
      <c r="G7" s="6" t="n">
        <v>0.04</v>
      </c>
      <c r="H7" s="33" t="n">
        <v>300000</v>
      </c>
      <c r="I7" s="33" t="n">
        <v>100000</v>
      </c>
      <c r="J7" s="33" t="n">
        <v>87500.00000000001</v>
      </c>
      <c r="K7" s="33" t="n">
        <v>50000</v>
      </c>
      <c r="L7" s="33" t="n">
        <v>137500</v>
      </c>
    </row>
    <row r="8" ht="21.95" customHeight="1" s="27">
      <c r="A8" s="8" t="inlineStr">
        <is>
          <t>VD-2024-0110</t>
        </is>
      </c>
      <c r="B8" s="8" t="inlineStr">
        <is>
          <t>Nimbus Cloud</t>
        </is>
      </c>
      <c r="C8" s="31" t="n">
        <v>20000000</v>
      </c>
      <c r="D8" s="12" t="n">
        <v>0.0475</v>
      </c>
      <c r="E8" s="10" t="n">
        <v>775</v>
      </c>
      <c r="F8" s="12" t="n">
        <v>0.125</v>
      </c>
      <c r="G8" s="12" t="n">
        <v>0</v>
      </c>
      <c r="H8" s="34" t="n">
        <v>2500000</v>
      </c>
      <c r="I8" s="34" t="n">
        <v>0</v>
      </c>
      <c r="J8" s="34" t="n">
        <v>350000.0000000001</v>
      </c>
      <c r="K8" s="34" t="n">
        <v>200000</v>
      </c>
      <c r="L8" s="34" t="n">
        <v>550000</v>
      </c>
    </row>
    <row r="9" ht="24" customHeight="1" s="27">
      <c r="A9" s="15" t="inlineStr">
        <is>
          <t>TOTALS</t>
        </is>
      </c>
      <c r="B9" s="16" t="n"/>
      <c r="C9" s="32">
        <f>SUM(C3:C8)</f>
        <v/>
      </c>
      <c r="D9" s="16" t="n"/>
      <c r="E9" s="16" t="n"/>
      <c r="F9" s="16" t="n"/>
      <c r="G9" s="16" t="n"/>
      <c r="H9" s="32">
        <f>SUM(H3:H8)</f>
        <v/>
      </c>
      <c r="I9" s="32">
        <f>SUM(I3:I8)</f>
        <v/>
      </c>
      <c r="J9" s="32">
        <f>SUM(J3:J8)</f>
        <v/>
      </c>
      <c r="K9" s="32">
        <f>SUM(K3:K8)</f>
        <v/>
      </c>
      <c r="L9" s="32">
        <f>SUM(L3:L8)</f>
        <v/>
      </c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style="27" min="1" max="1"/>
    <col width="20" customWidth="1" style="27" min="2" max="3"/>
    <col width="16" customWidth="1" style="27" min="4" max="5"/>
    <col width="14" customWidth="1" style="27" min="6" max="7"/>
    <col width="16" customWidth="1" style="27" min="8" max="8"/>
    <col width="14" customWidth="1" style="27" min="9" max="10"/>
  </cols>
  <sheetData>
    <row r="1" ht="32.1" customHeight="1" s="27">
      <c r="A1" s="26" t="inlineStr">
        <is>
          <t>COVENANT &amp; COMPLIANCE TRACKER</t>
        </is>
      </c>
    </row>
    <row r="2" ht="30" customHeight="1" s="27">
      <c r="A2" s="1" t="inlineStr">
        <is>
          <t>Deal ID</t>
        </is>
      </c>
      <c r="B2" s="1" t="inlineStr">
        <is>
          <t>Borrower</t>
        </is>
      </c>
      <c r="C2" s="1" t="inlineStr">
        <is>
          <t>Covenant Type</t>
        </is>
      </c>
      <c r="D2" s="1" t="inlineStr">
        <is>
          <t>Threshold</t>
        </is>
      </c>
      <c r="E2" s="1" t="inlineStr">
        <is>
          <t>Current Value</t>
        </is>
      </c>
      <c r="F2" s="1" t="inlineStr">
        <is>
          <t>Status</t>
        </is>
      </c>
      <c r="G2" s="1" t="inlineStr">
        <is>
          <t>Headroom</t>
        </is>
      </c>
      <c r="H2" s="1" t="inlineStr">
        <is>
          <t>Test Frequency</t>
        </is>
      </c>
      <c r="I2" s="1" t="inlineStr">
        <is>
          <t>Last Tested</t>
        </is>
      </c>
      <c r="J2" s="1" t="inlineStr">
        <is>
          <t>Next Test Date</t>
        </is>
      </c>
    </row>
    <row r="3" ht="21.95" customHeight="1" s="27">
      <c r="A3" s="4" t="inlineStr">
        <is>
          <t>VD-2023-0101</t>
        </is>
      </c>
      <c r="B3" s="2" t="inlineStr">
        <is>
          <t>Axon Therapeutics</t>
        </is>
      </c>
      <c r="C3" s="2" t="inlineStr">
        <is>
          <t>Min. Cash Runway</t>
        </is>
      </c>
      <c r="D3" s="4" t="inlineStr">
        <is>
          <t>≥ 6 months</t>
        </is>
      </c>
      <c r="E3" s="4" t="inlineStr">
        <is>
          <t>4.2 months</t>
        </is>
      </c>
      <c r="F3" s="7" t="inlineStr">
        <is>
          <t>Breach Risk</t>
        </is>
      </c>
      <c r="G3" s="20" t="inlineStr">
        <is>
          <t>-1.8 mo</t>
        </is>
      </c>
      <c r="H3" s="4" t="inlineStr">
        <is>
          <t>Monthly</t>
        </is>
      </c>
      <c r="I3" s="28" t="n">
        <v>46113</v>
      </c>
      <c r="J3" s="28" t="n">
        <v>46143</v>
      </c>
    </row>
    <row r="4" ht="21.95" customHeight="1" s="27">
      <c r="A4" s="10" t="inlineStr">
        <is>
          <t>VD-2023-0101</t>
        </is>
      </c>
      <c r="B4" s="8" t="inlineStr">
        <is>
          <t>Axon Therapeutics</t>
        </is>
      </c>
      <c r="C4" s="8" t="inlineStr">
        <is>
          <t>Revenue Coverage</t>
        </is>
      </c>
      <c r="D4" s="10" t="inlineStr">
        <is>
          <t>≥ 1.10x</t>
        </is>
      </c>
      <c r="E4" s="10" t="inlineStr">
        <is>
          <t>1.05x</t>
        </is>
      </c>
      <c r="F4" s="7" t="inlineStr">
        <is>
          <t>Breach Risk</t>
        </is>
      </c>
      <c r="G4" s="21" t="inlineStr">
        <is>
          <t>-0.05x</t>
        </is>
      </c>
      <c r="H4" s="10" t="inlineStr">
        <is>
          <t>Quarterly</t>
        </is>
      </c>
      <c r="I4" s="30" t="n">
        <v>46112</v>
      </c>
      <c r="J4" s="30" t="n">
        <v>46203</v>
      </c>
    </row>
    <row r="5" ht="21.95" customHeight="1" s="27">
      <c r="A5" s="4" t="inlineStr">
        <is>
          <t>VD-2023-0103</t>
        </is>
      </c>
      <c r="B5" s="2" t="inlineStr">
        <is>
          <t>Meridian SaaS</t>
        </is>
      </c>
      <c r="C5" s="2" t="inlineStr">
        <is>
          <t>ARR Growth YoY</t>
        </is>
      </c>
      <c r="D5" s="4" t="inlineStr">
        <is>
          <t>≥ 15%</t>
        </is>
      </c>
      <c r="E5" s="4" t="inlineStr">
        <is>
          <t>22.3%</t>
        </is>
      </c>
      <c r="F5" s="13" t="inlineStr">
        <is>
          <t>Compliant</t>
        </is>
      </c>
      <c r="G5" s="22" t="inlineStr">
        <is>
          <t>+7.3%</t>
        </is>
      </c>
      <c r="H5" s="4" t="inlineStr">
        <is>
          <t>Quarterly</t>
        </is>
      </c>
      <c r="I5" s="28" t="n">
        <v>46112</v>
      </c>
      <c r="J5" s="28" t="n">
        <v>46203</v>
      </c>
    </row>
    <row r="6" ht="21.95" customHeight="1" s="27">
      <c r="A6" s="10" t="inlineStr">
        <is>
          <t>VD-2023-0103</t>
        </is>
      </c>
      <c r="B6" s="8" t="inlineStr">
        <is>
          <t>Meridian SaaS</t>
        </is>
      </c>
      <c r="C6" s="8" t="inlineStr">
        <is>
          <t>Net Churn</t>
        </is>
      </c>
      <c r="D6" s="10" t="inlineStr">
        <is>
          <t>≤ 5.0%</t>
        </is>
      </c>
      <c r="E6" s="10" t="inlineStr">
        <is>
          <t>3.1%</t>
        </is>
      </c>
      <c r="F6" s="13" t="inlineStr">
        <is>
          <t>Compliant</t>
        </is>
      </c>
      <c r="G6" s="23" t="inlineStr">
        <is>
          <t>+1.9%</t>
        </is>
      </c>
      <c r="H6" s="10" t="inlineStr">
        <is>
          <t>Monthly</t>
        </is>
      </c>
      <c r="I6" s="30" t="n">
        <v>46113</v>
      </c>
      <c r="J6" s="30" t="n">
        <v>46143</v>
      </c>
    </row>
    <row r="7" ht="21.95" customHeight="1" s="27">
      <c r="A7" s="4" t="inlineStr">
        <is>
          <t>VD-2023-0104</t>
        </is>
      </c>
      <c r="B7" s="2" t="inlineStr">
        <is>
          <t>Crestline Robotics</t>
        </is>
      </c>
      <c r="C7" s="2" t="inlineStr">
        <is>
          <t>Debt / EBITDA</t>
        </is>
      </c>
      <c r="D7" s="4" t="inlineStr">
        <is>
          <t>≤ 5.0x</t>
        </is>
      </c>
      <c r="E7" s="4" t="inlineStr">
        <is>
          <t>4.2x</t>
        </is>
      </c>
      <c r="F7" s="13" t="inlineStr">
        <is>
          <t>Compliant</t>
        </is>
      </c>
      <c r="G7" s="22" t="inlineStr">
        <is>
          <t>+0.8x</t>
        </is>
      </c>
      <c r="H7" s="4" t="inlineStr">
        <is>
          <t>Quarterly</t>
        </is>
      </c>
      <c r="I7" s="28" t="n">
        <v>46112</v>
      </c>
      <c r="J7" s="28" t="n">
        <v>46203</v>
      </c>
    </row>
    <row r="8" ht="21.95" customHeight="1" s="27">
      <c r="A8" s="10" t="inlineStr">
        <is>
          <t>VD-2023-0104</t>
        </is>
      </c>
      <c r="B8" s="8" t="inlineStr">
        <is>
          <t>Crestline Robotics</t>
        </is>
      </c>
      <c r="C8" s="8" t="inlineStr">
        <is>
          <t>DSCR</t>
        </is>
      </c>
      <c r="D8" s="10" t="inlineStr">
        <is>
          <t>≥ 1.20x</t>
        </is>
      </c>
      <c r="E8" s="10" t="inlineStr">
        <is>
          <t>1.45x</t>
        </is>
      </c>
      <c r="F8" s="13" t="inlineStr">
        <is>
          <t>Compliant</t>
        </is>
      </c>
      <c r="G8" s="23" t="inlineStr">
        <is>
          <t>+0.25x</t>
        </is>
      </c>
      <c r="H8" s="10" t="inlineStr">
        <is>
          <t>Quarterly</t>
        </is>
      </c>
      <c r="I8" s="30" t="n">
        <v>46112</v>
      </c>
      <c r="J8" s="30" t="n">
        <v>46203</v>
      </c>
    </row>
    <row r="9" ht="21.95" customHeight="1" s="27">
      <c r="A9" s="4" t="inlineStr">
        <is>
          <t>VD-2024-0111</t>
        </is>
      </c>
      <c r="B9" s="2" t="inlineStr">
        <is>
          <t>Titan Semiconductors</t>
        </is>
      </c>
      <c r="C9" s="2" t="inlineStr">
        <is>
          <t>Min. Liquidity</t>
        </is>
      </c>
      <c r="D9" s="4" t="inlineStr">
        <is>
          <t>≥ $5.0M</t>
        </is>
      </c>
      <c r="E9" s="4" t="inlineStr">
        <is>
          <t>$5.8M</t>
        </is>
      </c>
      <c r="F9" s="14" t="inlineStr">
        <is>
          <t>Compliant</t>
        </is>
      </c>
      <c r="G9" s="22" t="inlineStr">
        <is>
          <t>+$0.8M</t>
        </is>
      </c>
      <c r="H9" s="4" t="inlineStr">
        <is>
          <t>Monthly</t>
        </is>
      </c>
      <c r="I9" s="28" t="n">
        <v>46113</v>
      </c>
      <c r="J9" s="28" t="n">
        <v>46143</v>
      </c>
    </row>
    <row r="10" ht="21.95" customHeight="1" s="27">
      <c r="A10" s="10" t="inlineStr">
        <is>
          <t>VD-2024-0111</t>
        </is>
      </c>
      <c r="B10" s="8" t="inlineStr">
        <is>
          <t>Titan Semiconductors</t>
        </is>
      </c>
      <c r="C10" s="8" t="inlineStr">
        <is>
          <t>Gross Margin</t>
        </is>
      </c>
      <c r="D10" s="10" t="inlineStr">
        <is>
          <t>≥ 55%</t>
        </is>
      </c>
      <c r="E10" s="10" t="inlineStr">
        <is>
          <t>53.2%</t>
        </is>
      </c>
      <c r="F10" s="14" t="inlineStr">
        <is>
          <t>Compliant</t>
        </is>
      </c>
      <c r="G10" s="21" t="inlineStr">
        <is>
          <t>-1.8%</t>
        </is>
      </c>
      <c r="H10" s="10" t="inlineStr">
        <is>
          <t>Quarterly</t>
        </is>
      </c>
      <c r="I10" s="30" t="n">
        <v>46112</v>
      </c>
      <c r="J10" s="30" t="n">
        <v>46203</v>
      </c>
    </row>
    <row r="11" ht="21.95" customHeight="1" s="27">
      <c r="A11" s="4" t="inlineStr">
        <is>
          <t>VD-2024-0112</t>
        </is>
      </c>
      <c r="B11" s="2" t="inlineStr">
        <is>
          <t>ClearPath Analytics</t>
        </is>
      </c>
      <c r="C11" s="2" t="inlineStr">
        <is>
          <t>Min. Cash</t>
        </is>
      </c>
      <c r="D11" s="4" t="inlineStr">
        <is>
          <t>≥ $1.0M</t>
        </is>
      </c>
      <c r="E11" s="4" t="inlineStr">
        <is>
          <t>$0.6M</t>
        </is>
      </c>
      <c r="F11" s="7" t="inlineStr">
        <is>
          <t>Breach Risk</t>
        </is>
      </c>
      <c r="G11" s="20" t="inlineStr">
        <is>
          <t>-$0.4M</t>
        </is>
      </c>
      <c r="H11" s="4" t="inlineStr">
        <is>
          <t>Monthly</t>
        </is>
      </c>
      <c r="I11" s="28" t="n">
        <v>46113</v>
      </c>
      <c r="J11" s="28" t="n">
        <v>46143</v>
      </c>
    </row>
    <row r="12" ht="21.95" customHeight="1" s="27">
      <c r="A12" s="10" t="inlineStr">
        <is>
          <t>VD-2024-0112</t>
        </is>
      </c>
      <c r="B12" s="8" t="inlineStr">
        <is>
          <t>ClearPath Analytics</t>
        </is>
      </c>
      <c r="C12" s="8" t="inlineStr">
        <is>
          <t>GMV Growth QoQ</t>
        </is>
      </c>
      <c r="D12" s="10" t="inlineStr">
        <is>
          <t>≥ 20%</t>
        </is>
      </c>
      <c r="E12" s="10" t="inlineStr">
        <is>
          <t>11.4%</t>
        </is>
      </c>
      <c r="F12" s="7" t="inlineStr">
        <is>
          <t>Breach Risk</t>
        </is>
      </c>
      <c r="G12" s="21" t="inlineStr">
        <is>
          <t>-8.6%</t>
        </is>
      </c>
      <c r="H12" s="10" t="inlineStr">
        <is>
          <t>Quarterly</t>
        </is>
      </c>
      <c r="I12" s="30" t="n">
        <v>46112</v>
      </c>
      <c r="J12" s="30" t="n">
        <v>46203</v>
      </c>
    </row>
    <row r="13" ht="21.95" customHeight="1" s="27">
      <c r="A13" s="4" t="inlineStr">
        <is>
          <t>VD-2024-0110</t>
        </is>
      </c>
      <c r="B13" s="2" t="inlineStr">
        <is>
          <t>Nimbus Cloud</t>
        </is>
      </c>
      <c r="C13" s="2" t="inlineStr">
        <is>
          <t>Net Revenue Retention</t>
        </is>
      </c>
      <c r="D13" s="4" t="inlineStr">
        <is>
          <t>≥ 110%</t>
        </is>
      </c>
      <c r="E13" s="4" t="inlineStr">
        <is>
          <t>118%</t>
        </is>
      </c>
      <c r="F13" s="13" t="inlineStr">
        <is>
          <t>Compliant</t>
        </is>
      </c>
      <c r="G13" s="22" t="inlineStr">
        <is>
          <t>+8%</t>
        </is>
      </c>
      <c r="H13" s="4" t="inlineStr">
        <is>
          <t>Quarterly</t>
        </is>
      </c>
      <c r="I13" s="28" t="n">
        <v>46112</v>
      </c>
      <c r="J13" s="28" t="n">
        <v>46203</v>
      </c>
    </row>
    <row r="14" ht="21.95" customHeight="1" s="27">
      <c r="A14" s="10" t="inlineStr">
        <is>
          <t>VD-2024-0110</t>
        </is>
      </c>
      <c r="B14" s="8" t="inlineStr">
        <is>
          <t>Nimbus Cloud</t>
        </is>
      </c>
      <c r="C14" s="8" t="inlineStr">
        <is>
          <t>Leverage (Debt/Revenue)</t>
        </is>
      </c>
      <c r="D14" s="10" t="inlineStr">
        <is>
          <t>≤ 4.0x</t>
        </is>
      </c>
      <c r="E14" s="10" t="inlineStr">
        <is>
          <t>3.1x</t>
        </is>
      </c>
      <c r="F14" s="13" t="inlineStr">
        <is>
          <t>Compliant</t>
        </is>
      </c>
      <c r="G14" s="23" t="inlineStr">
        <is>
          <t>+0.9x</t>
        </is>
      </c>
      <c r="H14" s="10" t="inlineStr">
        <is>
          <t>Quarterly</t>
        </is>
      </c>
      <c r="I14" s="30" t="n">
        <v>46112</v>
      </c>
      <c r="J14" s="30" t="n">
        <v>46203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2026-05-04T13:53:37Z</dcterms:created>
  <dcterms:modified xsi:type="dcterms:W3CDTF">2026-05-05T10:25:37Z</dcterms:modified>
  <cp:lastModifiedBy>Guest User</cp:lastModifiedBy>
</cp:coreProperties>
</file>